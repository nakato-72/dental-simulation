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tudy\01.Cursor\07.分析診断シート\"/>
    </mc:Choice>
  </mc:AlternateContent>
  <bookViews>
    <workbookView xWindow="0" yWindow="0" windowWidth="12750" windowHeight="7410"/>
  </bookViews>
  <sheets>
    <sheet name="ヒアリング項目" sheetId="4" r:id="rId1"/>
    <sheet name="シュミレーション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5" l="1"/>
  <c r="E12" i="5"/>
  <c r="E22" i="5"/>
  <c r="C27" i="4"/>
  <c r="C28" i="4"/>
  <c r="G28" i="4"/>
  <c r="G27" i="4"/>
  <c r="G29" i="4"/>
  <c r="C29" i="4"/>
  <c r="E18" i="5"/>
  <c r="E19" i="5"/>
  <c r="K18" i="5"/>
  <c r="K19" i="5"/>
  <c r="K13" i="5"/>
  <c r="K22" i="5" s="1"/>
  <c r="K23" i="5" s="1"/>
  <c r="E13" i="5"/>
  <c r="E23" i="5"/>
</calcChain>
</file>

<file path=xl/sharedStrings.xml><?xml version="1.0" encoding="utf-8"?>
<sst xmlns="http://schemas.openxmlformats.org/spreadsheetml/2006/main" count="86" uniqueCount="47">
  <si>
    <r>
      <rPr>
        <sz val="14"/>
        <color rgb="FF000000"/>
        <rFont val="游ゴシック"/>
        <family val="3"/>
        <charset val="128"/>
        <scheme val="minor"/>
      </rPr>
      <t>医院収入拡大へ　〇〇歯科医院</t>
    </r>
    <r>
      <rPr>
        <sz val="11"/>
        <color rgb="FF000000"/>
        <rFont val="游ゴシック"/>
        <family val="3"/>
        <charset val="128"/>
        <scheme val="minor"/>
      </rPr>
      <t>　　</t>
    </r>
    <r>
      <rPr>
        <sz val="14"/>
        <color rgb="FF000000"/>
        <rFont val="游ゴシック"/>
        <family val="3"/>
        <charset val="128"/>
        <scheme val="minor"/>
      </rPr>
      <t>ヒアリング</t>
    </r>
    <r>
      <rPr>
        <sz val="11"/>
        <color rgb="FF000000"/>
        <rFont val="游ゴシック"/>
        <family val="3"/>
        <charset val="128"/>
        <scheme val="minor"/>
      </rPr>
      <t>及び</t>
    </r>
    <r>
      <rPr>
        <sz val="14"/>
        <color rgb="FF000000"/>
        <rFont val="游ゴシック"/>
        <family val="3"/>
        <charset val="128"/>
        <scheme val="minor"/>
      </rPr>
      <t>増収シュミレーション</t>
    </r>
  </si>
  <si>
    <r>
      <rPr>
        <sz val="11"/>
        <color rgb="FF000000"/>
        <rFont val="游ゴシック"/>
        <family val="3"/>
        <charset val="128"/>
        <scheme val="minor"/>
      </rPr>
      <t>【</t>
    </r>
    <r>
      <rPr>
        <b/>
        <sz val="11"/>
        <color rgb="FF000000"/>
        <rFont val="游ゴシック"/>
        <family val="3"/>
        <charset val="128"/>
        <scheme val="minor"/>
      </rPr>
      <t>ヒアリング項目</t>
    </r>
    <r>
      <rPr>
        <sz val="11"/>
        <color rgb="FF000000"/>
        <rFont val="游ゴシック"/>
        <family val="3"/>
        <charset val="128"/>
        <scheme val="minor"/>
      </rPr>
      <t>】</t>
    </r>
  </si>
  <si>
    <t>【モデルケース】</t>
  </si>
  <si>
    <t>※ここに入力すると2シート目に反映</t>
  </si>
  <si>
    <t>　8時間診療　1枠45分の場合</t>
  </si>
  <si>
    <t>① 診療日数</t>
  </si>
  <si>
    <t>② レセプト枚数/月</t>
  </si>
  <si>
    <t>③ 新規患者数/月</t>
  </si>
  <si>
    <t>④ 50歳以上の患者</t>
  </si>
  <si>
    <t>⑤ チェア数</t>
  </si>
  <si>
    <t>⑥ DR</t>
  </si>
  <si>
    <t>⑦ DH</t>
  </si>
  <si>
    <t>⑧ DA</t>
  </si>
  <si>
    <t>⑨ 基本検査/日</t>
  </si>
  <si>
    <t>⑩ 精密検査/日</t>
  </si>
  <si>
    <t>⑪ SPT患者/日</t>
  </si>
  <si>
    <t>⑫キャンセル率</t>
  </si>
  <si>
    <t>⑬ リコール率</t>
  </si>
  <si>
    <t>⑭ 保険と自費割合</t>
  </si>
  <si>
    <t>8：2</t>
  </si>
  <si>
    <t>⑮ 口管強</t>
  </si>
  <si>
    <t>〇</t>
  </si>
  <si>
    <t>検査売上/月</t>
  </si>
  <si>
    <t>口腔機能低下症売上/月</t>
  </si>
  <si>
    <t>合計/年</t>
  </si>
  <si>
    <t>【処置点数】</t>
  </si>
  <si>
    <t>基本検査</t>
  </si>
  <si>
    <t>精密検査</t>
  </si>
  <si>
    <t>SPT</t>
  </si>
  <si>
    <t>口腔機能低下症(検査あり)</t>
  </si>
  <si>
    <t>口腔機能低下症(検査なし)</t>
  </si>
  <si>
    <t>シュミレーション</t>
  </si>
  <si>
    <r>
      <t>①　</t>
    </r>
    <r>
      <rPr>
        <b/>
        <sz val="14"/>
        <color rgb="FF000000"/>
        <rFont val="游ゴシック Light"/>
        <family val="2"/>
        <scheme val="major"/>
      </rPr>
      <t>精密検査</t>
    </r>
    <r>
      <rPr>
        <sz val="14"/>
        <color rgb="FF000000"/>
        <rFont val="游ゴシック Light"/>
        <family val="2"/>
        <scheme val="major"/>
      </rPr>
      <t>を増やす場合</t>
    </r>
  </si>
  <si>
    <r>
      <rPr>
        <b/>
        <sz val="14"/>
        <color rgb="FF000000"/>
        <rFont val="游ゴシック Light"/>
        <family val="2"/>
        <scheme val="major"/>
      </rPr>
      <t>②　基本→精密</t>
    </r>
    <r>
      <rPr>
        <sz val="14"/>
        <color rgb="FF000000"/>
        <rFont val="游ゴシック Light"/>
        <family val="2"/>
        <scheme val="major"/>
      </rPr>
      <t>検査に変える場合</t>
    </r>
  </si>
  <si>
    <t>１.精密検査</t>
  </si>
  <si>
    <t>人up</t>
  </si>
  <si>
    <t>1.基本→精密</t>
  </si>
  <si>
    <t>人変更</t>
  </si>
  <si>
    <t>診療点数</t>
  </si>
  <si>
    <t>点up</t>
  </si>
  <si>
    <t>収入</t>
  </si>
  <si>
    <t>円up</t>
  </si>
  <si>
    <t>2. 低下症</t>
  </si>
  <si>
    <r>
      <t>合計</t>
    </r>
    <r>
      <rPr>
        <sz val="11"/>
        <color rgb="FF000000"/>
        <rFont val="游ゴシック Light"/>
        <family val="2"/>
        <scheme val="major"/>
      </rPr>
      <t>(1+2)</t>
    </r>
  </si>
  <si>
    <t>月</t>
  </si>
  <si>
    <t>円増収</t>
  </si>
  <si>
    <t>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</si>
</sst>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sz val="11"/>
      <color theme="1"/>
      <name val="游ゴシック Light"/>
      <family val="2"/>
      <scheme val="major"/>
    </font>
    <font>
      <b/>
      <sz val="11"/>
      <color theme="1"/>
      <name val="游ゴシック Light"/>
      <family val="2"/>
      <scheme val="major"/>
    </font>
    <font>
      <sz val="14"/>
      <color rgb="FF000000"/>
      <name val="游ゴシック Light"/>
      <family val="2"/>
      <scheme val="major"/>
    </font>
    <font>
      <b/>
      <sz val="14"/>
      <color rgb="FF000000"/>
      <name val="游ゴシック Light"/>
      <family val="2"/>
      <scheme val="major"/>
    </font>
    <font>
      <b/>
      <sz val="18"/>
      <color theme="1"/>
      <name val="游ゴシック Light"/>
      <family val="2"/>
      <scheme val="major"/>
    </font>
    <font>
      <sz val="11"/>
      <color rgb="FF000000"/>
      <name val="游ゴシック Light"/>
      <family val="2"/>
      <scheme val="major"/>
    </font>
    <font>
      <b/>
      <sz val="11"/>
      <color rgb="FF000000"/>
      <name val="游ゴシック Light"/>
      <family val="2"/>
      <scheme val="major"/>
    </font>
    <font>
      <b/>
      <sz val="14"/>
      <color rgb="FFFF0000"/>
      <name val="游ゴシック Light"/>
      <family val="2"/>
      <scheme val="major"/>
    </font>
    <font>
      <sz val="9"/>
      <color rgb="FF000000"/>
      <name val="游ゴシック Light"/>
      <family val="2"/>
      <scheme val="major"/>
    </font>
    <font>
      <sz val="9"/>
      <color theme="1"/>
      <name val="游ゴシック Light"/>
      <family val="2"/>
      <scheme val="major"/>
    </font>
    <font>
      <sz val="16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41" fontId="0" fillId="0" borderId="0" xfId="0" applyNumberFormat="1">
      <alignment vertical="center"/>
    </xf>
    <xf numFmtId="0" fontId="0" fillId="0" borderId="11" xfId="0" applyBorder="1">
      <alignment vertical="center"/>
    </xf>
    <xf numFmtId="0" fontId="0" fillId="0" borderId="3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9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6" fillId="0" borderId="8" xfId="0" applyFont="1" applyBorder="1">
      <alignment vertical="center"/>
    </xf>
    <xf numFmtId="0" fontId="6" fillId="0" borderId="0" xfId="0" applyFont="1">
      <alignment vertical="center"/>
    </xf>
    <xf numFmtId="0" fontId="6" fillId="0" borderId="15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20" xfId="0" applyFont="1" applyBorder="1">
      <alignment vertical="center"/>
    </xf>
    <xf numFmtId="0" fontId="10" fillId="2" borderId="13" xfId="0" applyFont="1" applyFill="1" applyBorder="1">
      <alignment vertical="center"/>
    </xf>
    <xf numFmtId="0" fontId="6" fillId="0" borderId="4" xfId="0" applyFont="1" applyBorder="1">
      <alignment vertical="center"/>
    </xf>
    <xf numFmtId="41" fontId="6" fillId="0" borderId="6" xfId="0" applyNumberFormat="1" applyFont="1" applyBorder="1" applyAlignment="1">
      <alignment horizontal="right" vertical="center"/>
    </xf>
    <xf numFmtId="0" fontId="6" fillId="0" borderId="7" xfId="0" applyFont="1" applyBorder="1">
      <alignment vertical="center"/>
    </xf>
    <xf numFmtId="0" fontId="6" fillId="0" borderId="12" xfId="0" applyFont="1" applyBorder="1">
      <alignment vertical="center"/>
    </xf>
    <xf numFmtId="41" fontId="7" fillId="0" borderId="2" xfId="0" applyNumberFormat="1" applyFont="1" applyBorder="1" applyAlignment="1">
      <alignment horizontal="right" vertical="center"/>
    </xf>
    <xf numFmtId="0" fontId="6" fillId="0" borderId="11" xfId="0" applyFont="1" applyBorder="1">
      <alignment vertical="center"/>
    </xf>
    <xf numFmtId="41" fontId="6" fillId="0" borderId="11" xfId="0" applyNumberFormat="1" applyFont="1" applyBorder="1">
      <alignment vertical="center"/>
    </xf>
    <xf numFmtId="41" fontId="6" fillId="0" borderId="8" xfId="0" applyNumberFormat="1" applyFont="1" applyBorder="1" applyAlignment="1">
      <alignment horizontal="right" vertical="center"/>
    </xf>
    <xf numFmtId="41" fontId="6" fillId="0" borderId="0" xfId="0" applyNumberFormat="1" applyFont="1">
      <alignment vertical="center"/>
    </xf>
    <xf numFmtId="0" fontId="12" fillId="0" borderId="0" xfId="0" applyFont="1">
      <alignment vertical="center"/>
    </xf>
    <xf numFmtId="0" fontId="6" fillId="0" borderId="10" xfId="0" applyFont="1" applyBorder="1">
      <alignment vertical="center"/>
    </xf>
    <xf numFmtId="0" fontId="6" fillId="0" borderId="23" xfId="0" applyFont="1" applyBorder="1">
      <alignment vertical="center"/>
    </xf>
    <xf numFmtId="41" fontId="7" fillId="0" borderId="1" xfId="0" applyNumberFormat="1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6" fillId="0" borderId="24" xfId="0" applyFont="1" applyBorder="1">
      <alignment vertical="center"/>
    </xf>
    <xf numFmtId="41" fontId="13" fillId="0" borderId="25" xfId="0" applyNumberFormat="1" applyFont="1" applyBorder="1" applyAlignment="1">
      <alignment horizontal="right" vertical="center"/>
    </xf>
    <xf numFmtId="0" fontId="14" fillId="0" borderId="26" xfId="0" applyFont="1" applyBorder="1">
      <alignment vertical="center"/>
    </xf>
    <xf numFmtId="0" fontId="6" fillId="0" borderId="27" xfId="0" applyFont="1" applyBorder="1">
      <alignment vertical="center"/>
    </xf>
    <xf numFmtId="41" fontId="13" fillId="0" borderId="18" xfId="0" applyNumberFormat="1" applyFont="1" applyBorder="1" applyAlignment="1">
      <alignment horizontal="right" vertical="center"/>
    </xf>
    <xf numFmtId="0" fontId="14" fillId="0" borderId="19" xfId="0" applyFont="1" applyBorder="1">
      <alignment vertical="center"/>
    </xf>
    <xf numFmtId="41" fontId="13" fillId="0" borderId="25" xfId="0" applyNumberFormat="1" applyFont="1" applyBorder="1">
      <alignment vertical="center"/>
    </xf>
    <xf numFmtId="0" fontId="15" fillId="0" borderId="26" xfId="0" applyFont="1" applyBorder="1">
      <alignment vertical="center"/>
    </xf>
    <xf numFmtId="0" fontId="15" fillId="0" borderId="19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1"/>
  <sheetViews>
    <sheetView tabSelected="1" topLeftCell="A4" workbookViewId="0">
      <selection activeCell="C19" sqref="C19"/>
    </sheetView>
  </sheetViews>
  <sheetFormatPr defaultRowHeight="18.75" x14ac:dyDescent="0.4"/>
  <cols>
    <col min="1" max="1" width="6.125" customWidth="1"/>
    <col min="2" max="2" width="22.75" customWidth="1"/>
    <col min="3" max="3" width="11.5" customWidth="1"/>
    <col min="5" max="5" width="8.5" customWidth="1"/>
    <col min="6" max="6" width="23.25" customWidth="1"/>
    <col min="7" max="7" width="13" bestFit="1" customWidth="1"/>
    <col min="8" max="8" width="5.25" customWidth="1"/>
    <col min="9" max="9" width="11.625" customWidth="1"/>
  </cols>
  <sheetData>
    <row r="2" spans="2:17" ht="3" customHeight="1" x14ac:dyDescent="0.4"/>
    <row r="3" spans="2:17" ht="15.75" customHeight="1" x14ac:dyDescent="0.4">
      <c r="B3" s="47" t="s">
        <v>0</v>
      </c>
      <c r="C3" s="48"/>
      <c r="D3" s="48"/>
      <c r="E3" s="48"/>
      <c r="F3" s="48"/>
      <c r="G3" s="49"/>
    </row>
    <row r="4" spans="2:17" x14ac:dyDescent="0.4">
      <c r="B4" s="50"/>
      <c r="C4" s="51"/>
      <c r="D4" s="51"/>
      <c r="E4" s="51"/>
      <c r="F4" s="51"/>
      <c r="G4" s="52"/>
    </row>
    <row r="5" spans="2:17" x14ac:dyDescent="0.4">
      <c r="B5" s="53"/>
      <c r="C5" s="54"/>
      <c r="D5" s="54"/>
      <c r="E5" s="54"/>
      <c r="F5" s="54"/>
      <c r="G5" s="55"/>
    </row>
    <row r="9" spans="2:17" x14ac:dyDescent="0.4">
      <c r="B9" s="15" t="s">
        <v>1</v>
      </c>
      <c r="F9" s="9" t="s">
        <v>2</v>
      </c>
    </row>
    <row r="10" spans="2:17" x14ac:dyDescent="0.4">
      <c r="B10" t="s">
        <v>3</v>
      </c>
      <c r="F10" t="s">
        <v>4</v>
      </c>
    </row>
    <row r="11" spans="2:17" ht="25.5" x14ac:dyDescent="0.4">
      <c r="B11" s="2" t="s">
        <v>5</v>
      </c>
      <c r="C11" s="37">
        <v>22</v>
      </c>
      <c r="F11" s="2" t="s">
        <v>5</v>
      </c>
      <c r="G11" s="3">
        <v>22</v>
      </c>
    </row>
    <row r="12" spans="2:17" ht="25.5" x14ac:dyDescent="0.4">
      <c r="B12" s="2" t="s">
        <v>6</v>
      </c>
      <c r="C12" s="37">
        <v>300</v>
      </c>
      <c r="F12" s="2" t="s">
        <v>6</v>
      </c>
      <c r="G12" s="3">
        <v>300</v>
      </c>
    </row>
    <row r="13" spans="2:17" x14ac:dyDescent="0.4">
      <c r="B13" s="2" t="s">
        <v>7</v>
      </c>
      <c r="C13" s="3"/>
      <c r="F13" s="2" t="s">
        <v>7</v>
      </c>
      <c r="G13" s="3">
        <v>10</v>
      </c>
      <c r="Q13" s="5"/>
    </row>
    <row r="14" spans="2:17" ht="25.5" x14ac:dyDescent="0.4">
      <c r="B14" s="2" t="s">
        <v>8</v>
      </c>
      <c r="C14" s="37">
        <v>60</v>
      </c>
      <c r="F14" s="2" t="s">
        <v>8</v>
      </c>
      <c r="G14" s="3">
        <v>100</v>
      </c>
      <c r="Q14" s="5"/>
    </row>
    <row r="15" spans="2:17" x14ac:dyDescent="0.4">
      <c r="B15" s="2" t="s">
        <v>9</v>
      </c>
      <c r="C15" s="3"/>
      <c r="F15" s="2" t="s">
        <v>9</v>
      </c>
      <c r="G15" s="3">
        <v>3</v>
      </c>
      <c r="Q15" s="5"/>
    </row>
    <row r="16" spans="2:17" x14ac:dyDescent="0.4">
      <c r="B16" s="2" t="s">
        <v>10</v>
      </c>
      <c r="C16" s="3"/>
      <c r="F16" s="2" t="s">
        <v>10</v>
      </c>
      <c r="G16" s="3">
        <v>1</v>
      </c>
      <c r="Q16" s="5"/>
    </row>
    <row r="17" spans="2:17" x14ac:dyDescent="0.4">
      <c r="B17" s="2" t="s">
        <v>11</v>
      </c>
      <c r="C17" s="3"/>
      <c r="F17" s="2" t="s">
        <v>11</v>
      </c>
      <c r="G17" s="3">
        <v>3</v>
      </c>
    </row>
    <row r="18" spans="2:17" x14ac:dyDescent="0.4">
      <c r="B18" s="2" t="s">
        <v>12</v>
      </c>
      <c r="C18" s="3"/>
      <c r="F18" s="2" t="s">
        <v>12</v>
      </c>
      <c r="G18" s="3">
        <v>2</v>
      </c>
    </row>
    <row r="19" spans="2:17" ht="25.5" x14ac:dyDescent="0.4">
      <c r="B19" s="2" t="s">
        <v>13</v>
      </c>
      <c r="C19" s="37">
        <v>5</v>
      </c>
      <c r="F19" s="2" t="s">
        <v>13</v>
      </c>
      <c r="G19" s="3">
        <v>10</v>
      </c>
    </row>
    <row r="20" spans="2:17" ht="25.5" x14ac:dyDescent="0.4">
      <c r="B20" s="2" t="s">
        <v>14</v>
      </c>
      <c r="C20" s="37">
        <v>3</v>
      </c>
      <c r="F20" s="2" t="s">
        <v>14</v>
      </c>
      <c r="G20" s="3">
        <v>5</v>
      </c>
    </row>
    <row r="21" spans="2:17" x14ac:dyDescent="0.4">
      <c r="B21" s="2" t="s">
        <v>15</v>
      </c>
      <c r="C21" s="3"/>
      <c r="F21" s="2" t="s">
        <v>15</v>
      </c>
      <c r="G21" s="3">
        <v>5</v>
      </c>
    </row>
    <row r="22" spans="2:17" x14ac:dyDescent="0.4">
      <c r="B22" s="4" t="s">
        <v>16</v>
      </c>
      <c r="C22" s="7"/>
      <c r="F22" s="4" t="s">
        <v>16</v>
      </c>
      <c r="G22" s="10">
        <v>0.1</v>
      </c>
      <c r="Q22" s="5"/>
    </row>
    <row r="23" spans="2:17" x14ac:dyDescent="0.4">
      <c r="B23" s="2" t="s">
        <v>17</v>
      </c>
      <c r="C23" s="3"/>
      <c r="F23" s="2" t="s">
        <v>17</v>
      </c>
      <c r="G23" s="11">
        <v>0.9</v>
      </c>
      <c r="Q23" s="5"/>
    </row>
    <row r="24" spans="2:17" x14ac:dyDescent="0.4">
      <c r="B24" s="2" t="s">
        <v>18</v>
      </c>
      <c r="C24" s="8"/>
      <c r="F24" s="2" t="s">
        <v>18</v>
      </c>
      <c r="G24" s="13" t="s">
        <v>19</v>
      </c>
      <c r="Q24" s="5"/>
    </row>
    <row r="25" spans="2:17" x14ac:dyDescent="0.4">
      <c r="B25" s="4" t="s">
        <v>20</v>
      </c>
      <c r="C25" s="7"/>
      <c r="F25" s="4" t="s">
        <v>20</v>
      </c>
      <c r="G25" s="7" t="s">
        <v>21</v>
      </c>
      <c r="Q25" s="5"/>
    </row>
    <row r="26" spans="2:17" x14ac:dyDescent="0.4">
      <c r="B26" s="2"/>
      <c r="C26" s="3"/>
      <c r="F26" s="2"/>
      <c r="G26" s="2"/>
    </row>
    <row r="27" spans="2:17" x14ac:dyDescent="0.4">
      <c r="B27" s="16" t="s">
        <v>22</v>
      </c>
      <c r="C27" s="12">
        <f>((C19*200+C20*400)*C11)*10</f>
        <v>484000</v>
      </c>
      <c r="F27" s="16" t="s">
        <v>22</v>
      </c>
      <c r="G27" s="12">
        <f>((G19*200+G20*400)*G11)*10</f>
        <v>880000</v>
      </c>
    </row>
    <row r="28" spans="2:17" x14ac:dyDescent="0.4">
      <c r="B28" s="16" t="s">
        <v>23</v>
      </c>
      <c r="C28" s="12">
        <f>C14*B51*10</f>
        <v>87600</v>
      </c>
      <c r="F28" s="16" t="s">
        <v>23</v>
      </c>
      <c r="G28" s="12">
        <f>G14*B51*10</f>
        <v>146000</v>
      </c>
    </row>
    <row r="29" spans="2:17" x14ac:dyDescent="0.4">
      <c r="B29" s="16" t="s">
        <v>24</v>
      </c>
      <c r="C29" s="14">
        <f>(C27+C28)*12</f>
        <v>6859200</v>
      </c>
      <c r="F29" s="16" t="s">
        <v>24</v>
      </c>
      <c r="G29" s="14">
        <f>(G27+G28)*12</f>
        <v>12312000</v>
      </c>
    </row>
    <row r="46" spans="1:2" x14ac:dyDescent="0.4">
      <c r="A46" t="s">
        <v>25</v>
      </c>
      <c r="B46" s="1"/>
    </row>
    <row r="47" spans="1:2" x14ac:dyDescent="0.4">
      <c r="A47" s="2" t="s">
        <v>26</v>
      </c>
      <c r="B47" s="3">
        <v>200</v>
      </c>
    </row>
    <row r="48" spans="1:2" x14ac:dyDescent="0.4">
      <c r="A48" s="2" t="s">
        <v>27</v>
      </c>
      <c r="B48" s="3">
        <v>400</v>
      </c>
    </row>
    <row r="49" spans="1:2" x14ac:dyDescent="0.4">
      <c r="A49" s="2" t="s">
        <v>28</v>
      </c>
      <c r="B49" s="3">
        <v>350</v>
      </c>
    </row>
    <row r="50" spans="1:2" x14ac:dyDescent="0.4">
      <c r="A50" s="2" t="s">
        <v>29</v>
      </c>
      <c r="B50" s="3">
        <v>196</v>
      </c>
    </row>
    <row r="51" spans="1:2" x14ac:dyDescent="0.4">
      <c r="A51" s="2" t="s">
        <v>30</v>
      </c>
      <c r="B51" s="3">
        <v>146</v>
      </c>
    </row>
  </sheetData>
  <mergeCells count="1">
    <mergeCell ref="B3:G5"/>
  </mergeCells>
  <phoneticPr fontId="1"/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6"/>
  <sheetViews>
    <sheetView workbookViewId="0">
      <selection activeCell="O20" sqref="O20"/>
    </sheetView>
  </sheetViews>
  <sheetFormatPr defaultRowHeight="18.75" x14ac:dyDescent="0.4"/>
  <cols>
    <col min="1" max="1" width="8.5" customWidth="1"/>
    <col min="2" max="2" width="8.125" customWidth="1"/>
    <col min="3" max="3" width="12.625" customWidth="1"/>
    <col min="4" max="4" width="7.5" customWidth="1"/>
    <col min="5" max="5" width="14" customWidth="1"/>
    <col min="6" max="6" width="5.25" customWidth="1"/>
    <col min="7" max="7" width="6" customWidth="1"/>
    <col min="8" max="8" width="9.5" customWidth="1"/>
    <col min="9" max="9" width="12.625" customWidth="1"/>
    <col min="10" max="10" width="6.5" customWidth="1"/>
    <col min="11" max="11" width="12" bestFit="1" customWidth="1"/>
    <col min="13" max="13" width="5.625" customWidth="1"/>
  </cols>
  <sheetData>
    <row r="2" spans="2:13" x14ac:dyDescent="0.4">
      <c r="B2" s="6"/>
      <c r="C2" s="6"/>
      <c r="D2" s="6"/>
      <c r="E2" s="6"/>
    </row>
    <row r="3" spans="2:13" x14ac:dyDescent="0.4">
      <c r="B3" s="17"/>
      <c r="C3" s="18"/>
      <c r="D3" s="18"/>
      <c r="E3" s="18"/>
      <c r="F3" s="56" t="s">
        <v>31</v>
      </c>
      <c r="G3" s="57"/>
      <c r="H3" s="58"/>
      <c r="I3" s="19"/>
      <c r="J3" s="19"/>
      <c r="K3" s="19"/>
      <c r="L3" s="19"/>
      <c r="M3" s="20"/>
    </row>
    <row r="4" spans="2:13" x14ac:dyDescent="0.4">
      <c r="B4" s="17"/>
      <c r="C4" s="18"/>
      <c r="D4" s="18"/>
      <c r="E4" s="18"/>
      <c r="F4" s="59"/>
      <c r="G4" s="60"/>
      <c r="H4" s="61"/>
      <c r="I4" s="18"/>
      <c r="J4" s="18"/>
      <c r="K4" s="18"/>
      <c r="L4" s="18"/>
      <c r="M4" s="21"/>
    </row>
    <row r="5" spans="2:13" ht="15.75" customHeight="1" x14ac:dyDescent="0.4">
      <c r="B5" s="17"/>
      <c r="C5" s="18"/>
      <c r="D5" s="18"/>
      <c r="E5" s="18"/>
      <c r="F5" s="18"/>
      <c r="G5" s="18"/>
      <c r="H5" s="22"/>
      <c r="I5" s="18"/>
      <c r="J5" s="18"/>
      <c r="K5" s="18"/>
      <c r="L5" s="18"/>
      <c r="M5" s="21"/>
    </row>
    <row r="6" spans="2:13" ht="15.75" customHeight="1" x14ac:dyDescent="0.4">
      <c r="B6" s="17"/>
      <c r="C6" s="71" t="s">
        <v>32</v>
      </c>
      <c r="D6" s="72"/>
      <c r="E6" s="73"/>
      <c r="F6" s="18"/>
      <c r="G6" s="18"/>
      <c r="H6" s="22"/>
      <c r="I6" s="62" t="s">
        <v>33</v>
      </c>
      <c r="J6" s="63"/>
      <c r="K6" s="63"/>
      <c r="L6" s="64"/>
      <c r="M6" s="21"/>
    </row>
    <row r="7" spans="2:13" ht="15.75" customHeight="1" x14ac:dyDescent="0.4">
      <c r="B7" s="17"/>
      <c r="C7" s="74"/>
      <c r="D7" s="75"/>
      <c r="E7" s="76"/>
      <c r="F7" s="18"/>
      <c r="G7" s="18"/>
      <c r="H7" s="22"/>
      <c r="I7" s="65"/>
      <c r="J7" s="66"/>
      <c r="K7" s="66"/>
      <c r="L7" s="67"/>
      <c r="M7" s="21"/>
    </row>
    <row r="8" spans="2:13" ht="18.75" customHeight="1" x14ac:dyDescent="0.4">
      <c r="B8" s="17"/>
      <c r="C8" s="77"/>
      <c r="D8" s="78"/>
      <c r="E8" s="79"/>
      <c r="F8" s="18"/>
      <c r="G8" s="18"/>
      <c r="H8" s="22"/>
      <c r="I8" s="68"/>
      <c r="J8" s="69"/>
      <c r="K8" s="69"/>
      <c r="L8" s="70"/>
      <c r="M8" s="21"/>
    </row>
    <row r="9" spans="2:13" x14ac:dyDescent="0.4">
      <c r="B9" s="17"/>
      <c r="C9" s="18"/>
      <c r="D9" s="18"/>
      <c r="E9" s="18"/>
      <c r="F9" s="18"/>
      <c r="G9" s="18"/>
      <c r="H9" s="22"/>
      <c r="I9" s="18"/>
      <c r="J9" s="18"/>
      <c r="K9" s="18"/>
      <c r="L9" s="18"/>
      <c r="M9" s="21"/>
    </row>
    <row r="10" spans="2:13" x14ac:dyDescent="0.4">
      <c r="B10" s="17"/>
      <c r="C10" s="18"/>
      <c r="D10" s="18"/>
      <c r="E10" s="18"/>
      <c r="F10" s="18"/>
      <c r="G10" s="18"/>
      <c r="H10" s="22"/>
      <c r="I10" s="18"/>
      <c r="J10" s="18"/>
      <c r="K10" s="18"/>
      <c r="L10" s="18"/>
      <c r="M10" s="21"/>
    </row>
    <row r="11" spans="2:13" ht="30" x14ac:dyDescent="0.4">
      <c r="B11" s="17"/>
      <c r="C11" s="18" t="s">
        <v>34</v>
      </c>
      <c r="D11" s="23">
        <v>1</v>
      </c>
      <c r="E11" s="18" t="s">
        <v>35</v>
      </c>
      <c r="F11" s="18"/>
      <c r="G11" s="18"/>
      <c r="H11" s="22"/>
      <c r="I11" s="29" t="s">
        <v>36</v>
      </c>
      <c r="J11" s="23">
        <v>1</v>
      </c>
      <c r="K11" s="18" t="s">
        <v>37</v>
      </c>
      <c r="L11" s="18"/>
      <c r="M11" s="21"/>
    </row>
    <row r="12" spans="2:13" x14ac:dyDescent="0.4">
      <c r="B12" s="17"/>
      <c r="C12" s="85" t="s">
        <v>38</v>
      </c>
      <c r="D12" s="86"/>
      <c r="E12" s="25">
        <f>(D11*400)*ヒアリング項目!C11</f>
        <v>8800</v>
      </c>
      <c r="F12" s="24" t="s">
        <v>39</v>
      </c>
      <c r="G12" s="18"/>
      <c r="H12" s="22"/>
      <c r="I12" s="88" t="s">
        <v>38</v>
      </c>
      <c r="J12" s="86"/>
      <c r="K12" s="25">
        <f>(J11*ヒアリング項目!B47)*ヒアリング項目!C11</f>
        <v>4400</v>
      </c>
      <c r="L12" s="26" t="s">
        <v>39</v>
      </c>
      <c r="M12" s="21"/>
    </row>
    <row r="13" spans="2:13" x14ac:dyDescent="0.4">
      <c r="B13" s="17"/>
      <c r="C13" s="82" t="s">
        <v>40</v>
      </c>
      <c r="D13" s="84"/>
      <c r="E13" s="36">
        <f>(D11*400)*ヒアリング項目!C11*10</f>
        <v>88000</v>
      </c>
      <c r="F13" s="27" t="s">
        <v>41</v>
      </c>
      <c r="G13" s="18"/>
      <c r="H13" s="22"/>
      <c r="I13" s="85" t="s">
        <v>40</v>
      </c>
      <c r="J13" s="87"/>
      <c r="K13" s="28">
        <f>K12*10</f>
        <v>44000</v>
      </c>
      <c r="L13" s="24" t="s">
        <v>41</v>
      </c>
      <c r="M13" s="21"/>
    </row>
    <row r="14" spans="2:13" x14ac:dyDescent="0.4">
      <c r="B14" s="17"/>
      <c r="C14" s="18"/>
      <c r="D14" s="18"/>
      <c r="E14" s="18"/>
      <c r="F14" s="18"/>
      <c r="G14" s="18"/>
      <c r="H14" s="22"/>
      <c r="I14" s="18"/>
      <c r="J14" s="18"/>
      <c r="K14" s="18"/>
      <c r="L14" s="18"/>
      <c r="M14" s="21"/>
    </row>
    <row r="15" spans="2:13" x14ac:dyDescent="0.4">
      <c r="B15" s="17"/>
      <c r="C15" s="18"/>
      <c r="D15" s="18"/>
      <c r="E15" s="18"/>
      <c r="F15" s="18"/>
      <c r="G15" s="18"/>
      <c r="H15" s="22"/>
      <c r="I15" s="18"/>
      <c r="J15" s="18"/>
      <c r="K15" s="18"/>
      <c r="L15" s="18"/>
      <c r="M15" s="21"/>
    </row>
    <row r="16" spans="2:13" x14ac:dyDescent="0.4">
      <c r="B16" s="17"/>
      <c r="C16" s="18"/>
      <c r="D16" s="18"/>
      <c r="E16" s="18"/>
      <c r="F16" s="18"/>
      <c r="G16" s="18"/>
      <c r="H16" s="22"/>
      <c r="I16" s="18"/>
      <c r="J16" s="18"/>
      <c r="K16" s="18"/>
      <c r="L16" s="18"/>
      <c r="M16" s="21"/>
    </row>
    <row r="17" spans="2:20" ht="30" x14ac:dyDescent="0.4">
      <c r="B17" s="17"/>
      <c r="C17" s="29" t="s">
        <v>42</v>
      </c>
      <c r="D17" s="23">
        <v>1</v>
      </c>
      <c r="E17" s="30" t="s">
        <v>35</v>
      </c>
      <c r="F17" s="29"/>
      <c r="G17" s="18"/>
      <c r="H17" s="22"/>
      <c r="I17" s="29" t="s">
        <v>42</v>
      </c>
      <c r="J17" s="23">
        <v>1</v>
      </c>
      <c r="K17" s="30" t="s">
        <v>35</v>
      </c>
      <c r="L17" s="29"/>
      <c r="M17" s="21"/>
    </row>
    <row r="18" spans="2:20" ht="14.25" customHeight="1" x14ac:dyDescent="0.4">
      <c r="B18" s="17"/>
      <c r="C18" s="80" t="s">
        <v>38</v>
      </c>
      <c r="D18" s="81"/>
      <c r="E18" s="31">
        <f>D17*ヒアリング項目!B51*ヒアリング項目!C11</f>
        <v>3212</v>
      </c>
      <c r="F18" s="21" t="s">
        <v>39</v>
      </c>
      <c r="G18" s="18"/>
      <c r="H18" s="22"/>
      <c r="I18" s="80" t="s">
        <v>38</v>
      </c>
      <c r="J18" s="81"/>
      <c r="K18" s="31">
        <f>J17*ヒアリング項目!B51*ヒアリング項目!C11</f>
        <v>3212</v>
      </c>
      <c r="L18" s="21" t="s">
        <v>39</v>
      </c>
      <c r="M18" s="21"/>
    </row>
    <row r="19" spans="2:20" x14ac:dyDescent="0.4">
      <c r="B19" s="17"/>
      <c r="C19" s="82" t="s">
        <v>40</v>
      </c>
      <c r="D19" s="83"/>
      <c r="E19" s="28">
        <f>E18*10</f>
        <v>32120</v>
      </c>
      <c r="F19" s="24" t="s">
        <v>41</v>
      </c>
      <c r="G19" s="18"/>
      <c r="H19" s="22"/>
      <c r="I19" s="82" t="s">
        <v>40</v>
      </c>
      <c r="J19" s="83"/>
      <c r="K19" s="28">
        <f>K18*10</f>
        <v>32120</v>
      </c>
      <c r="L19" s="24" t="s">
        <v>41</v>
      </c>
      <c r="M19" s="21"/>
    </row>
    <row r="20" spans="2:20" x14ac:dyDescent="0.4">
      <c r="B20" s="17"/>
      <c r="C20" s="18"/>
      <c r="D20" s="18"/>
      <c r="E20" s="32"/>
      <c r="F20" s="18"/>
      <c r="G20" s="18"/>
      <c r="H20" s="22"/>
      <c r="I20" s="18"/>
      <c r="J20" s="18"/>
      <c r="K20" s="32"/>
      <c r="L20" s="18"/>
      <c r="M20" s="21"/>
    </row>
    <row r="21" spans="2:20" x14ac:dyDescent="0.4">
      <c r="B21" s="17"/>
      <c r="C21" s="18"/>
      <c r="D21" s="18"/>
      <c r="E21" s="32"/>
      <c r="F21" s="18"/>
      <c r="G21" s="18"/>
      <c r="H21" s="22"/>
      <c r="I21" s="18"/>
      <c r="J21" s="18"/>
      <c r="K21" s="32"/>
      <c r="L21" s="18"/>
      <c r="M21" s="21"/>
      <c r="T21" s="5"/>
    </row>
    <row r="22" spans="2:20" ht="24" x14ac:dyDescent="0.4">
      <c r="B22" s="17"/>
      <c r="C22" s="33" t="s">
        <v>43</v>
      </c>
      <c r="D22" s="38" t="s">
        <v>44</v>
      </c>
      <c r="E22" s="39">
        <f>E13+E19</f>
        <v>120120</v>
      </c>
      <c r="F22" s="40" t="s">
        <v>45</v>
      </c>
      <c r="G22" s="18"/>
      <c r="H22" s="22"/>
      <c r="I22" s="33" t="s">
        <v>43</v>
      </c>
      <c r="J22" s="38" t="s">
        <v>44</v>
      </c>
      <c r="K22" s="44">
        <f>K19+K13</f>
        <v>76120</v>
      </c>
      <c r="L22" s="45" t="s">
        <v>45</v>
      </c>
      <c r="M22" s="21"/>
      <c r="T22" s="5"/>
    </row>
    <row r="23" spans="2:20" ht="24" x14ac:dyDescent="0.4">
      <c r="B23" s="17"/>
      <c r="C23" s="18"/>
      <c r="D23" s="41" t="s">
        <v>46</v>
      </c>
      <c r="E23" s="42">
        <f>E22*12</f>
        <v>1441440</v>
      </c>
      <c r="F23" s="43" t="s">
        <v>45</v>
      </c>
      <c r="G23" s="18"/>
      <c r="H23" s="22"/>
      <c r="I23" s="18"/>
      <c r="J23" s="41" t="s">
        <v>46</v>
      </c>
      <c r="K23" s="42">
        <f>K22*12</f>
        <v>913440</v>
      </c>
      <c r="L23" s="46" t="s">
        <v>45</v>
      </c>
      <c r="M23" s="21"/>
    </row>
    <row r="24" spans="2:20" x14ac:dyDescent="0.4">
      <c r="B24" s="17"/>
      <c r="C24" s="18"/>
      <c r="D24" s="18"/>
      <c r="E24" s="18"/>
      <c r="F24" s="18"/>
      <c r="G24" s="18"/>
      <c r="H24" s="22"/>
      <c r="I24" s="18"/>
      <c r="J24" s="18"/>
      <c r="K24" s="18"/>
      <c r="L24" s="18"/>
      <c r="M24" s="21"/>
    </row>
    <row r="25" spans="2:20" x14ac:dyDescent="0.4">
      <c r="B25" s="17"/>
      <c r="C25" s="18"/>
      <c r="D25" s="18"/>
      <c r="E25" s="18"/>
      <c r="F25" s="18"/>
      <c r="G25" s="18"/>
      <c r="H25" s="22"/>
      <c r="I25" s="18"/>
      <c r="J25" s="18"/>
      <c r="K25" s="18"/>
      <c r="L25" s="18"/>
      <c r="M25" s="21"/>
    </row>
    <row r="26" spans="2:20" x14ac:dyDescent="0.4">
      <c r="B26" s="17"/>
      <c r="C26" s="18"/>
      <c r="D26" s="18"/>
      <c r="E26" s="18"/>
      <c r="F26" s="18"/>
      <c r="G26" s="18"/>
      <c r="H26" s="22"/>
      <c r="I26" s="18"/>
      <c r="J26" s="18"/>
      <c r="K26" s="18"/>
      <c r="L26" s="18"/>
      <c r="M26" s="21"/>
    </row>
    <row r="27" spans="2:20" x14ac:dyDescent="0.4">
      <c r="B27" s="34"/>
      <c r="C27" s="29"/>
      <c r="D27" s="29"/>
      <c r="E27" s="29"/>
      <c r="F27" s="29"/>
      <c r="G27" s="29"/>
      <c r="H27" s="35"/>
      <c r="I27" s="29"/>
      <c r="J27" s="29"/>
      <c r="K27" s="29"/>
      <c r="L27" s="29"/>
      <c r="M27" s="27"/>
    </row>
    <row r="35" spans="17:17" x14ac:dyDescent="0.4">
      <c r="Q35" s="5"/>
    </row>
    <row r="36" spans="17:17" x14ac:dyDescent="0.4">
      <c r="Q36" s="5"/>
    </row>
  </sheetData>
  <mergeCells count="11">
    <mergeCell ref="F3:H4"/>
    <mergeCell ref="I6:L8"/>
    <mergeCell ref="C6:E8"/>
    <mergeCell ref="I18:J18"/>
    <mergeCell ref="I19:J19"/>
    <mergeCell ref="C13:D13"/>
    <mergeCell ref="C12:D12"/>
    <mergeCell ref="I13:J13"/>
    <mergeCell ref="C18:D18"/>
    <mergeCell ref="C19:D19"/>
    <mergeCell ref="I12:J12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beedea-1d9a-4258-9bb7-de523202f684" xsi:nil="true"/>
    <lcf76f155ced4ddcb4097134ff3c332f xmlns="01c705d4-ec11-4de6-ab25-d150f93f24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DBBDA87F049547A71F662BA2D25EA3" ma:contentTypeVersion="11" ma:contentTypeDescription="新しいドキュメントを作成します。" ma:contentTypeScope="" ma:versionID="ed84385574a1daf4b777ed14d653491c">
  <xsd:schema xmlns:xsd="http://www.w3.org/2001/XMLSchema" xmlns:xs="http://www.w3.org/2001/XMLSchema" xmlns:p="http://schemas.microsoft.com/office/2006/metadata/properties" xmlns:ns2="01c705d4-ec11-4de6-ab25-d150f93f24c6" xmlns:ns3="c5beedea-1d9a-4258-9bb7-de523202f684" targetNamespace="http://schemas.microsoft.com/office/2006/metadata/properties" ma:root="true" ma:fieldsID="37829037598881523a422cfc4d76be21" ns2:_="" ns3:_="">
    <xsd:import namespace="01c705d4-ec11-4de6-ab25-d150f93f24c6"/>
    <xsd:import namespace="c5beedea-1d9a-4258-9bb7-de523202f6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705d4-ec11-4de6-ab25-d150f93f2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c819122b-8ae1-4819-a574-53f7d69b78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edea-1d9a-4258-9bb7-de523202f6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916a5b6-21ac-4424-a6fa-a6c840a89803}" ma:internalName="TaxCatchAll" ma:showField="CatchAllData" ma:web="c5beedea-1d9a-4258-9bb7-de523202f6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2228D-6BD7-4BE5-95FA-2C9F65F52B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14A01-F0FE-4C7A-815F-35FC146D6C75}">
  <ds:schemaRefs>
    <ds:schemaRef ds:uri="http://schemas.microsoft.com/office/2006/metadata/properties"/>
    <ds:schemaRef ds:uri="http://schemas.microsoft.com/office/infopath/2007/PartnerControls"/>
    <ds:schemaRef ds:uri="c5beedea-1d9a-4258-9bb7-de523202f684"/>
    <ds:schemaRef ds:uri="01c705d4-ec11-4de6-ab25-d150f93f24c6"/>
  </ds:schemaRefs>
</ds:datastoreItem>
</file>

<file path=customXml/itemProps3.xml><?xml version="1.0" encoding="utf-8"?>
<ds:datastoreItem xmlns:ds="http://schemas.openxmlformats.org/officeDocument/2006/customXml" ds:itemID="{C1F68460-3CE6-48AC-9375-A3EF9376C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c705d4-ec11-4de6-ab25-d150f93f24c6"/>
    <ds:schemaRef ds:uri="c5beedea-1d9a-4258-9bb7-de523202f6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ヒアリング項目</vt:lpstr>
      <vt:lpstr>シュミレーション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ユーザー</dc:creator>
  <cp:keywords/>
  <dc:description/>
  <cp:lastModifiedBy>Windows ユーザー</cp:lastModifiedBy>
  <cp:revision/>
  <dcterms:created xsi:type="dcterms:W3CDTF">2026-06-18T05:55:46Z</dcterms:created>
  <dcterms:modified xsi:type="dcterms:W3CDTF">2026-06-29T02:56:51Z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0x01010045DBBDA87F049547A71F662BA2D25EA3</vt:lpwstr>
  </property>
  <property fmtid="{D5CDD505-2E9C-101B-9397-08002B2CF9AE}" pid="3" name="MediaServiceImageTags">
    <vt:lpwstr/>
  </property>
</Properties>
</file>